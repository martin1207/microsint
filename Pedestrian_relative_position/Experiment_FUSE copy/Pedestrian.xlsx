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prahul_chalmers_se/Documents/PhD Rahul/Other projects/microSINT/"/>
    </mc:Choice>
  </mc:AlternateContent>
  <xr:revisionPtr revIDLastSave="0" documentId="106_{EB7D9FC7-D5C4-450D-B275-F4112A53BDD0}" xr6:coauthVersionLast="47" xr6:coauthVersionMax="47" xr10:uidLastSave="{00000000-0000-0000-0000-000000000000}"/>
  <bookViews>
    <workbookView xWindow="13042" yWindow="0" windowWidth="13041" windowHeight="14088" firstSheet="1" activeTab="1" xr2:uid="{3BFFD5AF-928C-40B1-BD88-AB32A6CCF31E}"/>
  </bookViews>
  <sheets>
    <sheet name="Train data" sheetId="1" r:id="rId1"/>
    <sheet name="Test 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L6" i="1" s="1"/>
  <c r="F7" i="1"/>
  <c r="F8" i="1"/>
  <c r="F9" i="1"/>
  <c r="L9" i="1" s="1"/>
  <c r="F10" i="1"/>
  <c r="L10" i="1" s="1"/>
  <c r="F11" i="1"/>
  <c r="L11" i="1" s="1"/>
  <c r="F12" i="1"/>
  <c r="L12" i="1" s="1"/>
  <c r="F13" i="1"/>
  <c r="L13" i="1" s="1"/>
  <c r="F14" i="1"/>
  <c r="L14" i="1" s="1"/>
  <c r="F15" i="1"/>
  <c r="L15" i="1" s="1"/>
  <c r="F16" i="1"/>
  <c r="L16" i="1" s="1"/>
  <c r="F17" i="1"/>
  <c r="F18" i="1"/>
  <c r="L18" i="1" s="1"/>
  <c r="F19" i="1"/>
  <c r="F20" i="1"/>
  <c r="L20" i="1" s="1"/>
  <c r="F21" i="1"/>
  <c r="F22" i="1"/>
  <c r="F23" i="1"/>
  <c r="L23" i="1" s="1"/>
  <c r="F24" i="1"/>
  <c r="L24" i="1" s="1"/>
  <c r="F25" i="1"/>
  <c r="L25" i="1" s="1"/>
  <c r="F26" i="1"/>
  <c r="L26" i="1" s="1"/>
  <c r="F27" i="1"/>
  <c r="L27" i="1" s="1"/>
  <c r="F28" i="1"/>
  <c r="L28" i="1" s="1"/>
  <c r="F29" i="1"/>
  <c r="L29" i="1" s="1"/>
  <c r="F30" i="1"/>
  <c r="F31" i="1"/>
  <c r="L31" i="1" s="1"/>
  <c r="F32" i="1"/>
  <c r="L32" i="1" s="1"/>
  <c r="F33" i="1"/>
  <c r="F34" i="1"/>
  <c r="L34" i="1" s="1"/>
  <c r="F35" i="1"/>
  <c r="L35" i="1" s="1"/>
  <c r="F36" i="1"/>
  <c r="L36" i="1" s="1"/>
  <c r="G3" i="2"/>
  <c r="M3" i="2" s="1"/>
  <c r="H3" i="2"/>
  <c r="I3" i="2"/>
  <c r="J3" i="2"/>
  <c r="G4" i="2"/>
  <c r="M4" i="2" s="1"/>
  <c r="H4" i="2"/>
  <c r="I4" i="2"/>
  <c r="J4" i="2"/>
  <c r="G5" i="2"/>
  <c r="M5" i="2" s="1"/>
  <c r="H5" i="2"/>
  <c r="I5" i="2"/>
  <c r="J5" i="2"/>
  <c r="G6" i="2"/>
  <c r="M6" i="2" s="1"/>
  <c r="H6" i="2"/>
  <c r="I6" i="2"/>
  <c r="J6" i="2"/>
  <c r="G7" i="2"/>
  <c r="M7" i="2" s="1"/>
  <c r="H7" i="2"/>
  <c r="I7" i="2"/>
  <c r="J7" i="2"/>
  <c r="G8" i="2"/>
  <c r="M8" i="2" s="1"/>
  <c r="H8" i="2"/>
  <c r="I8" i="2"/>
  <c r="J8" i="2"/>
  <c r="G9" i="2"/>
  <c r="M9" i="2" s="1"/>
  <c r="H9" i="2"/>
  <c r="I9" i="2"/>
  <c r="J9" i="2"/>
  <c r="G10" i="2"/>
  <c r="M10" i="2" s="1"/>
  <c r="H10" i="2"/>
  <c r="I10" i="2"/>
  <c r="J10" i="2"/>
  <c r="G11" i="2"/>
  <c r="M11" i="2" s="1"/>
  <c r="H11" i="2"/>
  <c r="I11" i="2"/>
  <c r="J11" i="2"/>
  <c r="G12" i="2"/>
  <c r="M12" i="2" s="1"/>
  <c r="H12" i="2"/>
  <c r="I12" i="2"/>
  <c r="J12" i="2"/>
  <c r="G13" i="2"/>
  <c r="M13" i="2" s="1"/>
  <c r="H13" i="2"/>
  <c r="I13" i="2"/>
  <c r="J13" i="2"/>
  <c r="J2" i="2"/>
  <c r="I2" i="2"/>
  <c r="H2" i="2"/>
  <c r="G2" i="2"/>
  <c r="M2" i="2" s="1"/>
  <c r="L2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M15" i="1" s="1"/>
  <c r="H16" i="1"/>
  <c r="I16" i="1"/>
  <c r="H17" i="1"/>
  <c r="I17" i="1"/>
  <c r="H18" i="1"/>
  <c r="I18" i="1"/>
  <c r="H19" i="1"/>
  <c r="I19" i="1"/>
  <c r="H20" i="1"/>
  <c r="I20" i="1"/>
  <c r="H21" i="1"/>
  <c r="I21" i="1"/>
  <c r="M21" i="1" s="1"/>
  <c r="H22" i="1"/>
  <c r="I22" i="1"/>
  <c r="H23" i="1"/>
  <c r="I23" i="1"/>
  <c r="H24" i="1"/>
  <c r="I24" i="1"/>
  <c r="H25" i="1"/>
  <c r="I25" i="1"/>
  <c r="H26" i="1"/>
  <c r="I26" i="1"/>
  <c r="H27" i="1"/>
  <c r="I27" i="1"/>
  <c r="M27" i="1" s="1"/>
  <c r="H28" i="1"/>
  <c r="I28" i="1"/>
  <c r="H29" i="1"/>
  <c r="I29" i="1"/>
  <c r="H30" i="1"/>
  <c r="I30" i="1"/>
  <c r="H31" i="1"/>
  <c r="I31" i="1"/>
  <c r="H32" i="1"/>
  <c r="I32" i="1"/>
  <c r="H33" i="1"/>
  <c r="I33" i="1"/>
  <c r="M33" i="1" s="1"/>
  <c r="H34" i="1"/>
  <c r="I34" i="1"/>
  <c r="H35" i="1"/>
  <c r="I35" i="1"/>
  <c r="H36" i="1"/>
  <c r="I36" i="1"/>
  <c r="I2" i="1"/>
  <c r="H2" i="1"/>
  <c r="G2" i="1"/>
  <c r="G3" i="1"/>
  <c r="G4" i="1"/>
  <c r="M4" i="1" s="1"/>
  <c r="G5" i="1"/>
  <c r="M5" i="1" s="1"/>
  <c r="G6" i="1"/>
  <c r="M6" i="1" s="1"/>
  <c r="G7" i="1"/>
  <c r="G8" i="1"/>
  <c r="G9" i="1"/>
  <c r="G10" i="1"/>
  <c r="G11" i="1"/>
  <c r="M11" i="1" s="1"/>
  <c r="G12" i="1"/>
  <c r="G13" i="1"/>
  <c r="M13" i="1" s="1"/>
  <c r="G14" i="1"/>
  <c r="M14" i="1" s="1"/>
  <c r="G15" i="1"/>
  <c r="G16" i="1"/>
  <c r="G17" i="1"/>
  <c r="M17" i="1" s="1"/>
  <c r="G18" i="1"/>
  <c r="G19" i="1"/>
  <c r="G20" i="1"/>
  <c r="G21" i="1"/>
  <c r="G22" i="1"/>
  <c r="G23" i="1"/>
  <c r="M23" i="1" s="1"/>
  <c r="G24" i="1"/>
  <c r="G25" i="1"/>
  <c r="M25" i="1" s="1"/>
  <c r="G26" i="1"/>
  <c r="G27" i="1"/>
  <c r="G28" i="1"/>
  <c r="M28" i="1" s="1"/>
  <c r="G29" i="1"/>
  <c r="M29" i="1" s="1"/>
  <c r="G30" i="1"/>
  <c r="G31" i="1"/>
  <c r="G32" i="1"/>
  <c r="G33" i="1"/>
  <c r="G34" i="1"/>
  <c r="M34" i="1" s="1"/>
  <c r="G35" i="1"/>
  <c r="M35" i="1" s="1"/>
  <c r="G36" i="1"/>
  <c r="F3" i="1"/>
  <c r="L3" i="1" s="1"/>
  <c r="F4" i="1"/>
  <c r="L4" i="1" s="1"/>
  <c r="L5" i="1"/>
  <c r="L7" i="1"/>
  <c r="L8" i="1"/>
  <c r="L17" i="1"/>
  <c r="L19" i="1"/>
  <c r="L21" i="1"/>
  <c r="L30" i="1"/>
  <c r="L33" i="1"/>
  <c r="F2" i="1"/>
  <c r="L2" i="1" s="1"/>
  <c r="N11" i="2" l="1"/>
  <c r="N8" i="2"/>
  <c r="N6" i="2"/>
  <c r="N5" i="2"/>
  <c r="M26" i="1"/>
  <c r="N13" i="2"/>
  <c r="N10" i="2"/>
  <c r="N7" i="2"/>
  <c r="N12" i="2"/>
  <c r="N9" i="2"/>
  <c r="N3" i="2"/>
  <c r="N4" i="2"/>
  <c r="N2" i="2"/>
  <c r="M22" i="1"/>
  <c r="M16" i="1"/>
  <c r="M10" i="1"/>
  <c r="M9" i="1"/>
  <c r="M18" i="1"/>
  <c r="M30" i="1"/>
  <c r="M32" i="1"/>
  <c r="M20" i="1"/>
  <c r="M8" i="1"/>
  <c r="M31" i="1"/>
  <c r="M19" i="1"/>
  <c r="M7" i="1"/>
  <c r="M36" i="1"/>
  <c r="M24" i="1"/>
  <c r="M12" i="1"/>
  <c r="M2" i="1"/>
  <c r="M3" i="1"/>
</calcChain>
</file>

<file path=xl/sharedStrings.xml><?xml version="1.0" encoding="utf-8"?>
<sst xmlns="http://schemas.openxmlformats.org/spreadsheetml/2006/main" count="30" uniqueCount="13">
  <si>
    <t>Cx</t>
  </si>
  <si>
    <t>Cy</t>
  </si>
  <si>
    <t>W</t>
  </si>
  <si>
    <t>H</t>
  </si>
  <si>
    <t>Conf</t>
  </si>
  <si>
    <t>Dist</t>
  </si>
  <si>
    <t>Ang</t>
  </si>
  <si>
    <t>Xc</t>
  </si>
  <si>
    <t>Yc</t>
  </si>
  <si>
    <t>Distance in CM</t>
  </si>
  <si>
    <t>Angle: Center is zero and increases towards the right</t>
  </si>
  <si>
    <t>Xc: Measured from the center of the image to bottom center of the pedestrian</t>
  </si>
  <si>
    <t>Yc: Measured from the bottom of the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</si>
</sst>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23AB-ACC6-4011-A858-50A122B0C981}">
  <dimension ref="A1:O36"/>
  <sheetViews>
    <sheetView workbookViewId="0">
      <selection sqref="A1:A1048576"/>
    </sheetView>
  </sheetViews>
  <sheetFormatPr defaultRowHeight="14.2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1</v>
      </c>
      <c r="H1" t="s">
        <v>2</v>
      </c>
      <c r="I1" t="s">
        <v>3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5">
      <c r="A2">
        <v>0.75877600000000001</v>
      </c>
      <c r="B2">
        <v>0.69668099999999999</v>
      </c>
      <c r="C2">
        <v>7.7649700000000002E-2</v>
      </c>
      <c r="D2">
        <v>0.324577</v>
      </c>
      <c r="E2">
        <v>0.923203</v>
      </c>
      <c r="F2">
        <f>A2*5376</f>
        <v>4079.1797759999999</v>
      </c>
      <c r="G2">
        <f>B2*2688</f>
        <v>1872.6785279999999</v>
      </c>
      <c r="H2">
        <f>C2*5376</f>
        <v>417.44478720000001</v>
      </c>
      <c r="I2">
        <f>D2*2688</f>
        <v>872.46297600000003</v>
      </c>
      <c r="J2" s="1">
        <v>10</v>
      </c>
      <c r="K2" s="1">
        <v>90</v>
      </c>
      <c r="L2" s="1">
        <f>ROUND(F2,0)-5376/2</f>
        <v>1391</v>
      </c>
      <c r="M2" s="1">
        <f>ROUND(2688-(G2+(I2/2)),0)</f>
        <v>379</v>
      </c>
      <c r="O2" t="s">
        <v>9</v>
      </c>
    </row>
    <row r="3" spans="1:15">
      <c r="A3">
        <v>0.75300599999999995</v>
      </c>
      <c r="B3">
        <v>0.63269500000000001</v>
      </c>
      <c r="C3">
        <v>5.8141100000000001E-2</v>
      </c>
      <c r="D3">
        <v>0.23516899999999999</v>
      </c>
      <c r="E3">
        <v>0.90133799999999997</v>
      </c>
      <c r="F3">
        <f t="shared" ref="F3:F36" si="0">A3*5376</f>
        <v>4048.1602559999997</v>
      </c>
      <c r="G3">
        <f t="shared" ref="G3:G36" si="1">B3*2688</f>
        <v>1700.68416</v>
      </c>
      <c r="H3">
        <f t="shared" ref="H3:H36" si="2">C3*5376</f>
        <v>312.56655360000002</v>
      </c>
      <c r="I3">
        <f t="shared" ref="I3:I36" si="3">D3*2688</f>
        <v>632.13427200000001</v>
      </c>
      <c r="J3" s="1">
        <v>20</v>
      </c>
      <c r="K3" s="1">
        <v>90</v>
      </c>
      <c r="L3" s="1">
        <f t="shared" ref="L3:L36" si="4">ROUND(F3,0)-5376/2</f>
        <v>1360</v>
      </c>
      <c r="M3" s="1">
        <f t="shared" ref="M3:M36" si="5">ROUND(2688-(G3+(I3/2)),0)</f>
        <v>671</v>
      </c>
      <c r="O3" t="s">
        <v>10</v>
      </c>
    </row>
    <row r="4" spans="1:15">
      <c r="A4">
        <v>0.75431800000000004</v>
      </c>
      <c r="B4">
        <v>0.59736500000000003</v>
      </c>
      <c r="C4">
        <v>3.1888399999999997E-2</v>
      </c>
      <c r="D4">
        <v>0.172957</v>
      </c>
      <c r="E4">
        <v>0.87964900000000001</v>
      </c>
      <c r="F4">
        <f t="shared" si="0"/>
        <v>4055.2135680000001</v>
      </c>
      <c r="G4">
        <f t="shared" si="1"/>
        <v>1605.71712</v>
      </c>
      <c r="H4">
        <f t="shared" si="2"/>
        <v>171.43203839999998</v>
      </c>
      <c r="I4">
        <f t="shared" si="3"/>
        <v>464.90841599999999</v>
      </c>
      <c r="J4" s="1">
        <v>30</v>
      </c>
      <c r="K4" s="1">
        <v>90</v>
      </c>
      <c r="L4" s="1">
        <f t="shared" si="4"/>
        <v>1367</v>
      </c>
      <c r="M4" s="1">
        <f t="shared" si="5"/>
        <v>850</v>
      </c>
      <c r="O4" t="s">
        <v>11</v>
      </c>
    </row>
    <row r="5" spans="1:15">
      <c r="A5">
        <v>0.75486299999999995</v>
      </c>
      <c r="B5">
        <v>0.57596199999999997</v>
      </c>
      <c r="C5">
        <v>2.8865399999999999E-2</v>
      </c>
      <c r="D5">
        <v>0.136739</v>
      </c>
      <c r="E5">
        <v>0.866456</v>
      </c>
      <c r="F5">
        <f t="shared" si="0"/>
        <v>4058.1434879999997</v>
      </c>
      <c r="G5">
        <f t="shared" si="1"/>
        <v>1548.1858559999998</v>
      </c>
      <c r="H5">
        <f t="shared" si="2"/>
        <v>155.18039039999999</v>
      </c>
      <c r="I5">
        <f t="shared" si="3"/>
        <v>367.55443200000002</v>
      </c>
      <c r="J5" s="1">
        <v>40</v>
      </c>
      <c r="K5" s="1">
        <v>90</v>
      </c>
      <c r="L5" s="1">
        <f t="shared" si="4"/>
        <v>1370</v>
      </c>
      <c r="M5" s="1">
        <f t="shared" si="5"/>
        <v>956</v>
      </c>
      <c r="O5" t="s">
        <v>12</v>
      </c>
    </row>
    <row r="6" spans="1:15">
      <c r="A6">
        <v>0.75546100000000005</v>
      </c>
      <c r="B6">
        <v>0.56185099999999999</v>
      </c>
      <c r="C6">
        <v>1.9816400000000001E-2</v>
      </c>
      <c r="D6">
        <v>0.10774400000000001</v>
      </c>
      <c r="E6">
        <v>0.77816600000000002</v>
      </c>
      <c r="F6">
        <f t="shared" si="0"/>
        <v>4061.3583360000002</v>
      </c>
      <c r="G6">
        <f t="shared" si="1"/>
        <v>1510.255488</v>
      </c>
      <c r="H6">
        <f t="shared" si="2"/>
        <v>106.53296640000001</v>
      </c>
      <c r="I6">
        <f t="shared" si="3"/>
        <v>289.61587200000002</v>
      </c>
      <c r="J6" s="1">
        <v>50</v>
      </c>
      <c r="K6" s="1">
        <v>90</v>
      </c>
      <c r="L6" s="1">
        <f t="shared" si="4"/>
        <v>1373</v>
      </c>
      <c r="M6" s="1">
        <f t="shared" si="5"/>
        <v>1033</v>
      </c>
    </row>
    <row r="7" spans="1:15">
      <c r="A7">
        <v>0.75514700000000001</v>
      </c>
      <c r="B7">
        <v>0.550952</v>
      </c>
      <c r="C7">
        <v>1.6297599999999999E-2</v>
      </c>
      <c r="D7">
        <v>9.2933100000000005E-2</v>
      </c>
      <c r="E7">
        <v>0.75290000000000001</v>
      </c>
      <c r="F7">
        <f t="shared" si="0"/>
        <v>4059.6702720000003</v>
      </c>
      <c r="G7">
        <f t="shared" si="1"/>
        <v>1480.9589759999999</v>
      </c>
      <c r="H7">
        <f t="shared" si="2"/>
        <v>87.615897599999997</v>
      </c>
      <c r="I7">
        <f t="shared" si="3"/>
        <v>249.8041728</v>
      </c>
      <c r="J7" s="1">
        <v>60</v>
      </c>
      <c r="K7" s="1">
        <v>90</v>
      </c>
      <c r="L7" s="1">
        <f t="shared" si="4"/>
        <v>1372</v>
      </c>
      <c r="M7" s="1">
        <f t="shared" si="5"/>
        <v>1082</v>
      </c>
    </row>
    <row r="8" spans="1:15">
      <c r="A8">
        <v>0.75647299999999995</v>
      </c>
      <c r="B8">
        <v>0.54125800000000002</v>
      </c>
      <c r="C8">
        <v>1.4938399999999999E-2</v>
      </c>
      <c r="D8">
        <v>7.8569E-2</v>
      </c>
      <c r="E8">
        <v>0.68234700000000004</v>
      </c>
      <c r="F8">
        <f t="shared" si="0"/>
        <v>4066.7988479999999</v>
      </c>
      <c r="G8">
        <f t="shared" si="1"/>
        <v>1454.9015039999999</v>
      </c>
      <c r="H8">
        <f t="shared" si="2"/>
        <v>80.308838399999999</v>
      </c>
      <c r="I8">
        <f t="shared" si="3"/>
        <v>211.19347199999999</v>
      </c>
      <c r="J8" s="1">
        <v>70</v>
      </c>
      <c r="K8" s="1">
        <v>90</v>
      </c>
      <c r="L8" s="1">
        <f t="shared" si="4"/>
        <v>1379</v>
      </c>
      <c r="M8" s="1">
        <f t="shared" si="5"/>
        <v>1128</v>
      </c>
    </row>
    <row r="9" spans="1:15">
      <c r="A9">
        <v>0.684276</v>
      </c>
      <c r="B9">
        <v>0.700295</v>
      </c>
      <c r="C9">
        <v>7.6311900000000002E-2</v>
      </c>
      <c r="D9">
        <v>0.33035500000000001</v>
      </c>
      <c r="E9">
        <v>0.92200800000000005</v>
      </c>
      <c r="F9">
        <f t="shared" si="0"/>
        <v>3678.6677759999998</v>
      </c>
      <c r="G9">
        <f t="shared" si="1"/>
        <v>1882.3929599999999</v>
      </c>
      <c r="H9">
        <f t="shared" si="2"/>
        <v>410.25277440000002</v>
      </c>
      <c r="I9">
        <f t="shared" si="3"/>
        <v>887.99423999999999</v>
      </c>
      <c r="J9" s="1">
        <v>10</v>
      </c>
      <c r="K9" s="1">
        <v>60</v>
      </c>
      <c r="L9" s="1">
        <f t="shared" si="4"/>
        <v>991</v>
      </c>
      <c r="M9" s="1">
        <f t="shared" si="5"/>
        <v>362</v>
      </c>
    </row>
    <row r="10" spans="1:15">
      <c r="A10">
        <v>0.68238299999999996</v>
      </c>
      <c r="B10">
        <v>0.63612000000000002</v>
      </c>
      <c r="C10">
        <v>6.42707E-2</v>
      </c>
      <c r="D10">
        <v>0.234097</v>
      </c>
      <c r="E10">
        <v>0.90993199999999996</v>
      </c>
      <c r="F10">
        <f t="shared" si="0"/>
        <v>3668.491008</v>
      </c>
      <c r="G10">
        <f t="shared" si="1"/>
        <v>1709.8905600000001</v>
      </c>
      <c r="H10">
        <f t="shared" si="2"/>
        <v>345.51928320000002</v>
      </c>
      <c r="I10">
        <f t="shared" si="3"/>
        <v>629.25273600000003</v>
      </c>
      <c r="J10" s="1">
        <v>20</v>
      </c>
      <c r="K10" s="1">
        <v>60</v>
      </c>
      <c r="L10" s="1">
        <f t="shared" si="4"/>
        <v>980</v>
      </c>
      <c r="M10" s="1">
        <f t="shared" si="5"/>
        <v>663</v>
      </c>
    </row>
    <row r="11" spans="1:15">
      <c r="A11">
        <v>0.68371199999999999</v>
      </c>
      <c r="B11">
        <v>0.59829699999999997</v>
      </c>
      <c r="C11">
        <v>3.0643199999999999E-2</v>
      </c>
      <c r="D11">
        <v>0.174923</v>
      </c>
      <c r="E11">
        <v>0.868587</v>
      </c>
      <c r="F11">
        <f t="shared" si="0"/>
        <v>3675.6357119999998</v>
      </c>
      <c r="G11">
        <f t="shared" si="1"/>
        <v>1608.2223359999998</v>
      </c>
      <c r="H11">
        <f t="shared" si="2"/>
        <v>164.73784319999999</v>
      </c>
      <c r="I11">
        <f t="shared" si="3"/>
        <v>470.19302399999998</v>
      </c>
      <c r="J11" s="1">
        <v>30</v>
      </c>
      <c r="K11" s="1">
        <v>60</v>
      </c>
      <c r="L11" s="1">
        <f t="shared" si="4"/>
        <v>988</v>
      </c>
      <c r="M11" s="1">
        <f t="shared" si="5"/>
        <v>845</v>
      </c>
    </row>
    <row r="12" spans="1:15">
      <c r="A12">
        <v>0.68183899999999997</v>
      </c>
      <c r="B12">
        <v>0.57664000000000004</v>
      </c>
      <c r="C12">
        <v>2.2029699999999999E-2</v>
      </c>
      <c r="D12">
        <v>0.13664499999999999</v>
      </c>
      <c r="E12">
        <v>0.83701000000000003</v>
      </c>
      <c r="F12">
        <f t="shared" si="0"/>
        <v>3665.566464</v>
      </c>
      <c r="G12">
        <f t="shared" si="1"/>
        <v>1550.0083200000001</v>
      </c>
      <c r="H12">
        <f t="shared" si="2"/>
        <v>118.43166719999999</v>
      </c>
      <c r="I12">
        <f t="shared" si="3"/>
        <v>367.30175999999994</v>
      </c>
      <c r="J12" s="1">
        <v>40</v>
      </c>
      <c r="K12" s="1">
        <v>60</v>
      </c>
      <c r="L12" s="1">
        <f t="shared" si="4"/>
        <v>978</v>
      </c>
      <c r="M12" s="1">
        <f t="shared" si="5"/>
        <v>954</v>
      </c>
    </row>
    <row r="13" spans="1:15">
      <c r="A13">
        <v>0.67927000000000004</v>
      </c>
      <c r="B13">
        <v>0.56302200000000002</v>
      </c>
      <c r="C13">
        <v>2.5190799999999999E-2</v>
      </c>
      <c r="D13">
        <v>0.108711</v>
      </c>
      <c r="E13">
        <v>0.83737200000000001</v>
      </c>
      <c r="F13">
        <f t="shared" si="0"/>
        <v>3651.7555200000002</v>
      </c>
      <c r="G13">
        <f t="shared" si="1"/>
        <v>1513.4031360000001</v>
      </c>
      <c r="H13">
        <f t="shared" si="2"/>
        <v>135.4257408</v>
      </c>
      <c r="I13">
        <f t="shared" si="3"/>
        <v>292.21516800000001</v>
      </c>
      <c r="J13" s="1">
        <v>50</v>
      </c>
      <c r="K13" s="1">
        <v>60</v>
      </c>
      <c r="L13" s="1">
        <f t="shared" si="4"/>
        <v>964</v>
      </c>
      <c r="M13" s="1">
        <f t="shared" si="5"/>
        <v>1028</v>
      </c>
    </row>
    <row r="14" spans="1:15">
      <c r="A14">
        <v>0.68008900000000005</v>
      </c>
      <c r="B14">
        <v>0.55160500000000001</v>
      </c>
      <c r="C14">
        <v>1.75756E-2</v>
      </c>
      <c r="D14">
        <v>8.9001300000000005E-2</v>
      </c>
      <c r="E14">
        <v>0.76336499999999996</v>
      </c>
      <c r="F14">
        <f t="shared" si="0"/>
        <v>3656.1584640000001</v>
      </c>
      <c r="G14">
        <f t="shared" si="1"/>
        <v>1482.71424</v>
      </c>
      <c r="H14">
        <f t="shared" si="2"/>
        <v>94.486425600000004</v>
      </c>
      <c r="I14">
        <f t="shared" si="3"/>
        <v>239.23549440000002</v>
      </c>
      <c r="J14" s="1">
        <v>60</v>
      </c>
      <c r="K14" s="1">
        <v>60</v>
      </c>
      <c r="L14" s="1">
        <f t="shared" si="4"/>
        <v>968</v>
      </c>
      <c r="M14" s="1">
        <f t="shared" si="5"/>
        <v>1086</v>
      </c>
    </row>
    <row r="15" spans="1:15">
      <c r="A15">
        <v>0.67976099999999995</v>
      </c>
      <c r="B15">
        <v>0.54466199999999998</v>
      </c>
      <c r="C15">
        <v>1.45275E-2</v>
      </c>
      <c r="D15">
        <v>7.9573199999999997E-2</v>
      </c>
      <c r="E15">
        <v>0.77334099999999995</v>
      </c>
      <c r="F15">
        <f t="shared" si="0"/>
        <v>3654.3951359999996</v>
      </c>
      <c r="G15">
        <f t="shared" si="1"/>
        <v>1464.0514559999999</v>
      </c>
      <c r="H15">
        <f t="shared" si="2"/>
        <v>78.09984</v>
      </c>
      <c r="I15">
        <f t="shared" si="3"/>
        <v>213.8927616</v>
      </c>
      <c r="J15" s="1">
        <v>70</v>
      </c>
      <c r="K15" s="1">
        <v>60</v>
      </c>
      <c r="L15" s="1">
        <f t="shared" si="4"/>
        <v>966</v>
      </c>
      <c r="M15" s="1">
        <f t="shared" si="5"/>
        <v>1117</v>
      </c>
    </row>
    <row r="16" spans="1:15">
      <c r="A16">
        <v>0.62232900000000002</v>
      </c>
      <c r="B16">
        <v>0.70176899999999998</v>
      </c>
      <c r="C16">
        <v>0.126747</v>
      </c>
      <c r="D16">
        <v>0.322357</v>
      </c>
      <c r="E16">
        <v>0.93136099999999999</v>
      </c>
      <c r="F16">
        <f t="shared" si="0"/>
        <v>3345.6407039999999</v>
      </c>
      <c r="G16">
        <f t="shared" si="1"/>
        <v>1886.3550719999998</v>
      </c>
      <c r="H16">
        <f t="shared" si="2"/>
        <v>681.39187200000003</v>
      </c>
      <c r="I16">
        <f t="shared" si="3"/>
        <v>866.49561600000004</v>
      </c>
      <c r="J16" s="1">
        <v>10</v>
      </c>
      <c r="K16" s="1">
        <v>45</v>
      </c>
      <c r="L16" s="1">
        <f t="shared" si="4"/>
        <v>658</v>
      </c>
      <c r="M16" s="1">
        <f t="shared" si="5"/>
        <v>368</v>
      </c>
    </row>
    <row r="17" spans="1:13">
      <c r="A17">
        <v>0.62815699999999997</v>
      </c>
      <c r="B17">
        <v>0.63595400000000002</v>
      </c>
      <c r="C17">
        <v>4.8572499999999998E-2</v>
      </c>
      <c r="D17">
        <v>0.231349</v>
      </c>
      <c r="E17">
        <v>0.89290099999999994</v>
      </c>
      <c r="F17">
        <f t="shared" si="0"/>
        <v>3376.9720319999997</v>
      </c>
      <c r="G17">
        <f t="shared" si="1"/>
        <v>1709.444352</v>
      </c>
      <c r="H17">
        <f t="shared" si="2"/>
        <v>261.12576000000001</v>
      </c>
      <c r="I17">
        <f t="shared" si="3"/>
        <v>621.86611200000004</v>
      </c>
      <c r="J17" s="1">
        <v>20</v>
      </c>
      <c r="K17" s="1">
        <v>45</v>
      </c>
      <c r="L17" s="1">
        <f t="shared" si="4"/>
        <v>689</v>
      </c>
      <c r="M17" s="1">
        <f t="shared" si="5"/>
        <v>668</v>
      </c>
    </row>
    <row r="18" spans="1:13">
      <c r="A18">
        <v>0.62743099999999996</v>
      </c>
      <c r="B18">
        <v>0.59667499999999996</v>
      </c>
      <c r="C18">
        <v>3.6899500000000002E-2</v>
      </c>
      <c r="D18">
        <v>0.168823</v>
      </c>
      <c r="E18">
        <v>0.874556</v>
      </c>
      <c r="F18">
        <f t="shared" si="0"/>
        <v>3373.0690559999998</v>
      </c>
      <c r="G18">
        <f t="shared" si="1"/>
        <v>1603.8624</v>
      </c>
      <c r="H18">
        <f t="shared" si="2"/>
        <v>198.371712</v>
      </c>
      <c r="I18">
        <f t="shared" si="3"/>
        <v>453.796224</v>
      </c>
      <c r="J18" s="1">
        <v>30</v>
      </c>
      <c r="K18" s="1">
        <v>45</v>
      </c>
      <c r="L18" s="1">
        <f t="shared" si="4"/>
        <v>685</v>
      </c>
      <c r="M18" s="1">
        <f t="shared" si="5"/>
        <v>857</v>
      </c>
    </row>
    <row r="19" spans="1:13">
      <c r="A19">
        <v>0.62866299999999997</v>
      </c>
      <c r="B19">
        <v>0.57381700000000002</v>
      </c>
      <c r="C19">
        <v>2.6028599999999999E-2</v>
      </c>
      <c r="D19">
        <v>0.13674</v>
      </c>
      <c r="E19">
        <v>0.84874799999999995</v>
      </c>
      <c r="F19">
        <f t="shared" si="0"/>
        <v>3379.6922879999997</v>
      </c>
      <c r="G19">
        <f t="shared" si="1"/>
        <v>1542.4200960000001</v>
      </c>
      <c r="H19">
        <f t="shared" si="2"/>
        <v>139.9297536</v>
      </c>
      <c r="I19">
        <f t="shared" si="3"/>
        <v>367.55712</v>
      </c>
      <c r="J19" s="1">
        <v>40</v>
      </c>
      <c r="K19" s="1">
        <v>45</v>
      </c>
      <c r="L19" s="1">
        <f t="shared" si="4"/>
        <v>692</v>
      </c>
      <c r="M19" s="1">
        <f t="shared" si="5"/>
        <v>962</v>
      </c>
    </row>
    <row r="20" spans="1:13">
      <c r="A20">
        <v>0.628552</v>
      </c>
      <c r="B20">
        <v>0.56133500000000003</v>
      </c>
      <c r="C20">
        <v>1.83917E-2</v>
      </c>
      <c r="D20">
        <v>0.11050599999999999</v>
      </c>
      <c r="E20">
        <v>0.776806</v>
      </c>
      <c r="F20">
        <f t="shared" si="0"/>
        <v>3379.0955519999998</v>
      </c>
      <c r="G20">
        <f t="shared" si="1"/>
        <v>1508.8684800000001</v>
      </c>
      <c r="H20">
        <f t="shared" si="2"/>
        <v>98.873779200000001</v>
      </c>
      <c r="I20">
        <f t="shared" si="3"/>
        <v>297.04012799999998</v>
      </c>
      <c r="J20" s="1">
        <v>50</v>
      </c>
      <c r="K20" s="1">
        <v>45</v>
      </c>
      <c r="L20" s="1">
        <f t="shared" si="4"/>
        <v>691</v>
      </c>
      <c r="M20" s="1">
        <f t="shared" si="5"/>
        <v>1031</v>
      </c>
    </row>
    <row r="21" spans="1:13">
      <c r="A21">
        <v>0.627363</v>
      </c>
      <c r="B21">
        <v>0.55238799999999999</v>
      </c>
      <c r="C21">
        <v>1.6760899999999999E-2</v>
      </c>
      <c r="D21">
        <v>9.1534599999999994E-2</v>
      </c>
      <c r="E21">
        <v>0.74242900000000001</v>
      </c>
      <c r="F21">
        <f t="shared" si="0"/>
        <v>3372.7034880000001</v>
      </c>
      <c r="G21">
        <f t="shared" si="1"/>
        <v>1484.8189439999999</v>
      </c>
      <c r="H21">
        <f t="shared" si="2"/>
        <v>90.106598399999996</v>
      </c>
      <c r="I21">
        <f t="shared" si="3"/>
        <v>246.04500479999999</v>
      </c>
      <c r="J21" s="1">
        <v>60</v>
      </c>
      <c r="K21" s="1">
        <v>45</v>
      </c>
      <c r="L21" s="1">
        <f t="shared" si="4"/>
        <v>685</v>
      </c>
      <c r="M21" s="1">
        <f t="shared" si="5"/>
        <v>1080</v>
      </c>
    </row>
    <row r="22" spans="1:13">
      <c r="A22">
        <v>0.62679200000000002</v>
      </c>
      <c r="B22">
        <v>0.54513999999999996</v>
      </c>
      <c r="C22">
        <v>1.44174E-2</v>
      </c>
      <c r="D22">
        <v>7.7033000000000004E-2</v>
      </c>
      <c r="E22">
        <v>0.74486799999999997</v>
      </c>
      <c r="F22">
        <f t="shared" si="0"/>
        <v>3369.6337920000001</v>
      </c>
      <c r="G22">
        <f t="shared" si="1"/>
        <v>1465.3363199999999</v>
      </c>
      <c r="H22">
        <f t="shared" si="2"/>
        <v>77.507942400000005</v>
      </c>
      <c r="I22">
        <f t="shared" si="3"/>
        <v>207.06470400000001</v>
      </c>
      <c r="J22" s="1">
        <v>70</v>
      </c>
      <c r="K22" s="1">
        <v>45</v>
      </c>
      <c r="L22" s="1">
        <f t="shared" si="4"/>
        <v>682</v>
      </c>
      <c r="M22" s="1">
        <f t="shared" si="5"/>
        <v>1119</v>
      </c>
    </row>
    <row r="23" spans="1:13">
      <c r="A23">
        <v>0.58138800000000002</v>
      </c>
      <c r="B23">
        <v>0.70302600000000004</v>
      </c>
      <c r="C23">
        <v>8.8267899999999996E-2</v>
      </c>
      <c r="D23">
        <v>0.32757999999999998</v>
      </c>
      <c r="E23">
        <v>0.91692600000000002</v>
      </c>
      <c r="F23">
        <f t="shared" si="0"/>
        <v>3125.5418880000002</v>
      </c>
      <c r="G23">
        <f t="shared" si="1"/>
        <v>1889.7338880000002</v>
      </c>
      <c r="H23">
        <f t="shared" si="2"/>
        <v>474.52823039999998</v>
      </c>
      <c r="I23">
        <f t="shared" si="3"/>
        <v>880.53503999999998</v>
      </c>
      <c r="J23" s="1">
        <v>10</v>
      </c>
      <c r="K23" s="1">
        <v>30</v>
      </c>
      <c r="L23" s="1">
        <f t="shared" si="4"/>
        <v>438</v>
      </c>
      <c r="M23" s="1">
        <f t="shared" si="5"/>
        <v>358</v>
      </c>
    </row>
    <row r="24" spans="1:13">
      <c r="A24">
        <v>0.57997600000000005</v>
      </c>
      <c r="B24">
        <v>0.63464500000000001</v>
      </c>
      <c r="C24">
        <v>4.4292699999999997E-2</v>
      </c>
      <c r="D24">
        <v>0.234324</v>
      </c>
      <c r="E24">
        <v>0.89763499999999996</v>
      </c>
      <c r="F24">
        <f t="shared" si="0"/>
        <v>3117.9509760000001</v>
      </c>
      <c r="G24">
        <f t="shared" si="1"/>
        <v>1705.9257600000001</v>
      </c>
      <c r="H24">
        <f t="shared" si="2"/>
        <v>238.1175552</v>
      </c>
      <c r="I24">
        <f t="shared" si="3"/>
        <v>629.86291200000005</v>
      </c>
      <c r="J24" s="1">
        <v>20</v>
      </c>
      <c r="K24" s="1">
        <v>30</v>
      </c>
      <c r="L24" s="1">
        <f t="shared" si="4"/>
        <v>430</v>
      </c>
      <c r="M24" s="1">
        <f t="shared" si="5"/>
        <v>667</v>
      </c>
    </row>
    <row r="25" spans="1:13">
      <c r="A25">
        <v>0.57660299999999998</v>
      </c>
      <c r="B25">
        <v>0.59871099999999999</v>
      </c>
      <c r="C25">
        <v>3.6789599999999999E-2</v>
      </c>
      <c r="D25">
        <v>0.17395099999999999</v>
      </c>
      <c r="E25">
        <v>0.88866900000000004</v>
      </c>
      <c r="F25">
        <f t="shared" si="0"/>
        <v>3099.817728</v>
      </c>
      <c r="G25">
        <f t="shared" si="1"/>
        <v>1609.3351680000001</v>
      </c>
      <c r="H25">
        <f t="shared" si="2"/>
        <v>197.78088959999999</v>
      </c>
      <c r="I25">
        <f t="shared" si="3"/>
        <v>467.580288</v>
      </c>
      <c r="J25" s="1">
        <v>30</v>
      </c>
      <c r="K25" s="1">
        <v>30</v>
      </c>
      <c r="L25" s="1">
        <f t="shared" si="4"/>
        <v>412</v>
      </c>
      <c r="M25" s="1">
        <f t="shared" si="5"/>
        <v>845</v>
      </c>
    </row>
    <row r="26" spans="1:13">
      <c r="A26">
        <v>0.57824600000000004</v>
      </c>
      <c r="B26">
        <v>0.57667000000000002</v>
      </c>
      <c r="C26">
        <v>2.4283800000000001E-2</v>
      </c>
      <c r="D26">
        <v>0.13630600000000001</v>
      </c>
      <c r="E26">
        <v>0.83994000000000002</v>
      </c>
      <c r="F26">
        <f t="shared" si="0"/>
        <v>3108.6504960000002</v>
      </c>
      <c r="G26">
        <f t="shared" si="1"/>
        <v>1550.08896</v>
      </c>
      <c r="H26">
        <f t="shared" si="2"/>
        <v>130.54970880000002</v>
      </c>
      <c r="I26">
        <f t="shared" si="3"/>
        <v>366.39052800000002</v>
      </c>
      <c r="J26" s="1">
        <v>40</v>
      </c>
      <c r="K26" s="1">
        <v>30</v>
      </c>
      <c r="L26" s="1">
        <f t="shared" si="4"/>
        <v>421</v>
      </c>
      <c r="M26" s="1">
        <f t="shared" si="5"/>
        <v>955</v>
      </c>
    </row>
    <row r="27" spans="1:13">
      <c r="A27">
        <v>0.577627</v>
      </c>
      <c r="B27">
        <v>0.56259000000000003</v>
      </c>
      <c r="C27">
        <v>1.9801900000000001E-2</v>
      </c>
      <c r="D27">
        <v>0.11250300000000001</v>
      </c>
      <c r="E27">
        <v>0.79000499999999996</v>
      </c>
      <c r="F27">
        <f t="shared" si="0"/>
        <v>3105.322752</v>
      </c>
      <c r="G27">
        <f t="shared" si="1"/>
        <v>1512.2419200000002</v>
      </c>
      <c r="H27">
        <f t="shared" si="2"/>
        <v>106.45501440000001</v>
      </c>
      <c r="I27">
        <f t="shared" si="3"/>
        <v>302.40806400000002</v>
      </c>
      <c r="J27" s="1">
        <v>50</v>
      </c>
      <c r="K27" s="1">
        <v>30</v>
      </c>
      <c r="L27" s="1">
        <f t="shared" si="4"/>
        <v>417</v>
      </c>
      <c r="M27" s="1">
        <f t="shared" si="5"/>
        <v>1025</v>
      </c>
    </row>
    <row r="28" spans="1:13">
      <c r="A28">
        <v>0.57807699999999995</v>
      </c>
      <c r="B28">
        <v>0.55288300000000001</v>
      </c>
      <c r="C28">
        <v>1.6457400000000001E-2</v>
      </c>
      <c r="D28">
        <v>9.3524599999999999E-2</v>
      </c>
      <c r="E28">
        <v>0.73785199999999995</v>
      </c>
      <c r="F28">
        <f t="shared" si="0"/>
        <v>3107.7419519999999</v>
      </c>
      <c r="G28">
        <f t="shared" si="1"/>
        <v>1486.149504</v>
      </c>
      <c r="H28">
        <f t="shared" si="2"/>
        <v>88.474982400000002</v>
      </c>
      <c r="I28">
        <f t="shared" si="3"/>
        <v>251.39412479999999</v>
      </c>
      <c r="J28" s="1">
        <v>60</v>
      </c>
      <c r="K28" s="1">
        <v>30</v>
      </c>
      <c r="L28" s="1">
        <f t="shared" si="4"/>
        <v>420</v>
      </c>
      <c r="M28" s="1">
        <f t="shared" si="5"/>
        <v>1076</v>
      </c>
    </row>
    <row r="29" spans="1:13">
      <c r="A29">
        <v>0.575654</v>
      </c>
      <c r="B29">
        <v>0.54579999999999995</v>
      </c>
      <c r="C29">
        <v>1.38666E-2</v>
      </c>
      <c r="D29">
        <v>8.0395999999999995E-2</v>
      </c>
      <c r="E29">
        <v>0.71097999999999995</v>
      </c>
      <c r="F29">
        <f t="shared" si="0"/>
        <v>3094.7159040000001</v>
      </c>
      <c r="G29">
        <f t="shared" si="1"/>
        <v>1467.1103999999998</v>
      </c>
      <c r="H29">
        <f t="shared" si="2"/>
        <v>74.546841599999993</v>
      </c>
      <c r="I29">
        <f t="shared" si="3"/>
        <v>216.10444799999999</v>
      </c>
      <c r="J29" s="1">
        <v>70</v>
      </c>
      <c r="K29" s="1">
        <v>30</v>
      </c>
      <c r="L29" s="1">
        <f t="shared" si="4"/>
        <v>407</v>
      </c>
      <c r="M29" s="1">
        <f t="shared" si="5"/>
        <v>1113</v>
      </c>
    </row>
    <row r="30" spans="1:13">
      <c r="A30">
        <v>0.50360499999999997</v>
      </c>
      <c r="B30">
        <v>0.70200399999999996</v>
      </c>
      <c r="C30">
        <v>8.6053299999999999E-2</v>
      </c>
      <c r="D30">
        <v>0.325187</v>
      </c>
      <c r="E30">
        <v>0.92579100000000003</v>
      </c>
      <c r="F30">
        <f t="shared" si="0"/>
        <v>2707.3804799999998</v>
      </c>
      <c r="G30">
        <f t="shared" si="1"/>
        <v>1886.9867519999998</v>
      </c>
      <c r="H30">
        <f t="shared" si="2"/>
        <v>462.62254080000002</v>
      </c>
      <c r="I30">
        <f t="shared" si="3"/>
        <v>874.10265600000002</v>
      </c>
      <c r="J30" s="1">
        <v>10</v>
      </c>
      <c r="K30" s="1">
        <v>0</v>
      </c>
      <c r="L30" s="1">
        <f t="shared" si="4"/>
        <v>19</v>
      </c>
      <c r="M30" s="1">
        <f t="shared" si="5"/>
        <v>364</v>
      </c>
    </row>
    <row r="31" spans="1:13">
      <c r="A31">
        <v>0.50700199999999995</v>
      </c>
      <c r="B31">
        <v>0.63276299999999996</v>
      </c>
      <c r="C31">
        <v>4.3261300000000003E-2</v>
      </c>
      <c r="D31">
        <v>0.234871</v>
      </c>
      <c r="E31">
        <v>0.89330399999999999</v>
      </c>
      <c r="F31">
        <f t="shared" si="0"/>
        <v>2725.6427519999997</v>
      </c>
      <c r="G31">
        <f t="shared" si="1"/>
        <v>1700.8669439999999</v>
      </c>
      <c r="H31">
        <f t="shared" si="2"/>
        <v>232.5727488</v>
      </c>
      <c r="I31">
        <f t="shared" si="3"/>
        <v>631.33324800000003</v>
      </c>
      <c r="J31" s="1">
        <v>20</v>
      </c>
      <c r="K31" s="1">
        <v>0</v>
      </c>
      <c r="L31" s="1">
        <f t="shared" si="4"/>
        <v>38</v>
      </c>
      <c r="M31" s="1">
        <f t="shared" si="5"/>
        <v>671</v>
      </c>
    </row>
    <row r="32" spans="1:13">
      <c r="A32">
        <v>0.50634199999999996</v>
      </c>
      <c r="B32">
        <v>0.59937600000000002</v>
      </c>
      <c r="C32">
        <v>2.8526800000000001E-2</v>
      </c>
      <c r="D32">
        <v>0.175202</v>
      </c>
      <c r="E32">
        <v>0.87729400000000002</v>
      </c>
      <c r="F32">
        <f t="shared" si="0"/>
        <v>2722.0945919999999</v>
      </c>
      <c r="G32">
        <f t="shared" si="1"/>
        <v>1611.1226880000002</v>
      </c>
      <c r="H32">
        <f t="shared" si="2"/>
        <v>153.3600768</v>
      </c>
      <c r="I32">
        <f t="shared" si="3"/>
        <v>470.94297599999999</v>
      </c>
      <c r="J32" s="1">
        <v>30</v>
      </c>
      <c r="K32" s="1">
        <v>0</v>
      </c>
      <c r="L32" s="1">
        <f t="shared" si="4"/>
        <v>34</v>
      </c>
      <c r="M32" s="1">
        <f t="shared" si="5"/>
        <v>841</v>
      </c>
    </row>
    <row r="33" spans="1:13">
      <c r="A33">
        <v>0.50468800000000003</v>
      </c>
      <c r="B33">
        <v>0.58006500000000005</v>
      </c>
      <c r="C33">
        <v>3.54989E-2</v>
      </c>
      <c r="D33">
        <v>0.13766</v>
      </c>
      <c r="E33">
        <v>0.83559499999999998</v>
      </c>
      <c r="F33">
        <f t="shared" si="0"/>
        <v>2713.2026880000003</v>
      </c>
      <c r="G33">
        <f t="shared" si="1"/>
        <v>1559.2147200000002</v>
      </c>
      <c r="H33">
        <f t="shared" si="2"/>
        <v>190.8420864</v>
      </c>
      <c r="I33">
        <f t="shared" si="3"/>
        <v>370.03008</v>
      </c>
      <c r="J33" s="1">
        <v>40</v>
      </c>
      <c r="K33" s="1">
        <v>0</v>
      </c>
      <c r="L33" s="1">
        <f t="shared" si="4"/>
        <v>25</v>
      </c>
      <c r="M33" s="1">
        <f t="shared" si="5"/>
        <v>944</v>
      </c>
    </row>
    <row r="34" spans="1:13">
      <c r="A34">
        <v>0.50347799999999998</v>
      </c>
      <c r="B34">
        <v>0.56471400000000005</v>
      </c>
      <c r="C34">
        <v>2.0392400000000001E-2</v>
      </c>
      <c r="D34">
        <v>0.11064400000000001</v>
      </c>
      <c r="E34">
        <v>0.75408900000000001</v>
      </c>
      <c r="F34">
        <f t="shared" si="0"/>
        <v>2706.6977280000001</v>
      </c>
      <c r="G34">
        <f t="shared" si="1"/>
        <v>1517.9512320000001</v>
      </c>
      <c r="H34">
        <f t="shared" si="2"/>
        <v>109.62954240000001</v>
      </c>
      <c r="I34">
        <f t="shared" si="3"/>
        <v>297.41107199999999</v>
      </c>
      <c r="J34" s="1">
        <v>50</v>
      </c>
      <c r="K34" s="1">
        <v>0</v>
      </c>
      <c r="L34" s="1">
        <f t="shared" si="4"/>
        <v>19</v>
      </c>
      <c r="M34" s="1">
        <f t="shared" si="5"/>
        <v>1021</v>
      </c>
    </row>
    <row r="35" spans="1:13">
      <c r="A35">
        <v>0.50465300000000002</v>
      </c>
      <c r="B35">
        <v>0.55405700000000002</v>
      </c>
      <c r="C35">
        <v>1.5978800000000001E-2</v>
      </c>
      <c r="D35">
        <v>9.1180600000000001E-2</v>
      </c>
      <c r="E35">
        <v>0.55906599999999995</v>
      </c>
      <c r="F35">
        <f t="shared" si="0"/>
        <v>2713.0145280000002</v>
      </c>
      <c r="G35">
        <f t="shared" si="1"/>
        <v>1489.305216</v>
      </c>
      <c r="H35">
        <f t="shared" si="2"/>
        <v>85.902028800000011</v>
      </c>
      <c r="I35">
        <f t="shared" si="3"/>
        <v>245.09345279999999</v>
      </c>
      <c r="J35" s="1">
        <v>60</v>
      </c>
      <c r="K35" s="1">
        <v>0</v>
      </c>
      <c r="L35" s="1">
        <f t="shared" si="4"/>
        <v>25</v>
      </c>
      <c r="M35" s="1">
        <f t="shared" si="5"/>
        <v>1076</v>
      </c>
    </row>
    <row r="36" spans="1:13">
      <c r="A36">
        <v>0.50337100000000001</v>
      </c>
      <c r="B36">
        <v>0.54445900000000003</v>
      </c>
      <c r="C36">
        <v>1.37041E-2</v>
      </c>
      <c r="D36">
        <v>7.7143299999999998E-2</v>
      </c>
      <c r="E36">
        <v>0.31997900000000001</v>
      </c>
      <c r="F36">
        <f t="shared" si="0"/>
        <v>2706.122496</v>
      </c>
      <c r="G36">
        <f t="shared" si="1"/>
        <v>1463.5057920000002</v>
      </c>
      <c r="H36">
        <f t="shared" si="2"/>
        <v>73.673241599999997</v>
      </c>
      <c r="I36">
        <f t="shared" si="3"/>
        <v>207.3611904</v>
      </c>
      <c r="J36" s="1">
        <v>70</v>
      </c>
      <c r="K36" s="1">
        <v>0</v>
      </c>
      <c r="L36" s="1">
        <f t="shared" si="4"/>
        <v>18</v>
      </c>
      <c r="M36" s="1">
        <f t="shared" si="5"/>
        <v>1121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AE1B-73AF-4621-8290-6523F9ACB9B9}">
  <dimension ref="A1:N13"/>
  <sheetViews>
    <sheetView tabSelected="1" topLeftCell="D1" zoomScale="109" workbookViewId="0">
      <selection activeCell="M2" sqref="M2:M13"/>
    </sheetView>
  </sheetViews>
  <sheetFormatPr defaultRowHeight="14.25"/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0</v>
      </c>
      <c r="H1" t="s">
        <v>1</v>
      </c>
      <c r="I1" t="s">
        <v>2</v>
      </c>
      <c r="J1" t="s">
        <v>3</v>
      </c>
      <c r="K1" s="1" t="s">
        <v>5</v>
      </c>
      <c r="L1" s="1" t="s">
        <v>6</v>
      </c>
      <c r="M1" s="1" t="s">
        <v>7</v>
      </c>
      <c r="N1" s="1" t="s">
        <v>8</v>
      </c>
    </row>
    <row r="2" spans="1:14">
      <c r="A2">
        <v>0</v>
      </c>
      <c r="B2">
        <v>0.71007299999999995</v>
      </c>
      <c r="C2">
        <v>0.66483599999999998</v>
      </c>
      <c r="D2">
        <v>5.6696400000000001E-2</v>
      </c>
      <c r="E2">
        <v>0.278534</v>
      </c>
      <c r="F2">
        <v>0.89709300000000003</v>
      </c>
      <c r="G2">
        <f>B2*5376</f>
        <v>3817.3524479999996</v>
      </c>
      <c r="H2">
        <f>C2*2688</f>
        <v>1787.079168</v>
      </c>
      <c r="I2">
        <f>D2*5376</f>
        <v>304.79984639999998</v>
      </c>
      <c r="J2">
        <f>E2*2688</f>
        <v>748.69939199999999</v>
      </c>
      <c r="K2" s="1">
        <v>15</v>
      </c>
      <c r="L2" s="1">
        <v>75</v>
      </c>
      <c r="M2" s="1">
        <f>ROUND(G2,0)-5376/2</f>
        <v>1129</v>
      </c>
      <c r="N2" s="1">
        <f>ROUND(2688-(H2+(J2/2)),0)</f>
        <v>527</v>
      </c>
    </row>
    <row r="3" spans="1:14">
      <c r="A3">
        <v>0</v>
      </c>
      <c r="B3">
        <v>0.71210300000000004</v>
      </c>
      <c r="C3">
        <v>0.58530599999999999</v>
      </c>
      <c r="D3">
        <v>2.6036900000000002E-2</v>
      </c>
      <c r="E3">
        <v>0.150093</v>
      </c>
      <c r="F3">
        <v>0.83759600000000001</v>
      </c>
      <c r="G3">
        <f t="shared" ref="G3:G13" si="0">B3*5376</f>
        <v>3828.2657280000003</v>
      </c>
      <c r="H3">
        <f t="shared" ref="H3:H13" si="1">C3*2688</f>
        <v>1573.3025279999999</v>
      </c>
      <c r="I3">
        <f t="shared" ref="I3:I13" si="2">D3*5376</f>
        <v>139.97437440000002</v>
      </c>
      <c r="J3">
        <f t="shared" ref="J3:J13" si="3">E3*2688</f>
        <v>403.44998400000003</v>
      </c>
      <c r="K3" s="1">
        <v>35</v>
      </c>
      <c r="L3" s="1">
        <v>75</v>
      </c>
      <c r="M3" s="1">
        <f t="shared" ref="M3:M13" si="4">ROUND(G3,0)-5376/2</f>
        <v>1140</v>
      </c>
      <c r="N3" s="1">
        <f t="shared" ref="N3:N13" si="5">ROUND(2688-(H3+(J3/2)),0)</f>
        <v>913</v>
      </c>
    </row>
    <row r="4" spans="1:14">
      <c r="A4">
        <v>0</v>
      </c>
      <c r="B4">
        <v>0.71357199999999998</v>
      </c>
      <c r="C4">
        <v>0.56592200000000004</v>
      </c>
      <c r="D4">
        <v>1.8305600000000002E-2</v>
      </c>
      <c r="E4">
        <v>0.114799</v>
      </c>
      <c r="F4">
        <v>0.79647100000000004</v>
      </c>
      <c r="G4">
        <f t="shared" si="0"/>
        <v>3836.1630719999998</v>
      </c>
      <c r="H4">
        <f t="shared" si="1"/>
        <v>1521.1983360000002</v>
      </c>
      <c r="I4">
        <f t="shared" si="2"/>
        <v>98.410905600000007</v>
      </c>
      <c r="J4">
        <f t="shared" si="3"/>
        <v>308.57971199999997</v>
      </c>
      <c r="K4" s="1">
        <v>45</v>
      </c>
      <c r="L4" s="1">
        <v>75</v>
      </c>
      <c r="M4" s="1">
        <f t="shared" si="4"/>
        <v>1148</v>
      </c>
      <c r="N4" s="1">
        <f t="shared" si="5"/>
        <v>1013</v>
      </c>
    </row>
    <row r="5" spans="1:14">
      <c r="A5">
        <v>0</v>
      </c>
      <c r="B5">
        <v>0.647231</v>
      </c>
      <c r="C5">
        <v>0.66268800000000005</v>
      </c>
      <c r="D5">
        <v>5.1528400000000002E-2</v>
      </c>
      <c r="E5">
        <v>0.27855400000000002</v>
      </c>
      <c r="F5">
        <v>0.90893000000000002</v>
      </c>
      <c r="G5">
        <f t="shared" si="0"/>
        <v>3479.513856</v>
      </c>
      <c r="H5">
        <f t="shared" si="1"/>
        <v>1781.3053440000001</v>
      </c>
      <c r="I5">
        <f t="shared" si="2"/>
        <v>277.01667839999999</v>
      </c>
      <c r="J5">
        <f t="shared" si="3"/>
        <v>748.75315200000011</v>
      </c>
      <c r="K5" s="1">
        <v>15</v>
      </c>
      <c r="L5" s="1">
        <v>53</v>
      </c>
      <c r="M5" s="1">
        <f t="shared" si="4"/>
        <v>792</v>
      </c>
      <c r="N5" s="1">
        <f t="shared" si="5"/>
        <v>532</v>
      </c>
    </row>
    <row r="6" spans="1:14">
      <c r="A6">
        <v>0</v>
      </c>
      <c r="B6">
        <v>0.65049800000000002</v>
      </c>
      <c r="C6">
        <v>0.58619500000000002</v>
      </c>
      <c r="D6">
        <v>2.1543699999999999E-2</v>
      </c>
      <c r="E6">
        <v>0.15453800000000001</v>
      </c>
      <c r="F6">
        <v>0.84496700000000002</v>
      </c>
      <c r="G6">
        <f t="shared" si="0"/>
        <v>3497.0772480000001</v>
      </c>
      <c r="H6">
        <f t="shared" si="1"/>
        <v>1575.6921600000001</v>
      </c>
      <c r="I6">
        <f t="shared" si="2"/>
        <v>115.81893119999999</v>
      </c>
      <c r="J6">
        <f t="shared" si="3"/>
        <v>415.398144</v>
      </c>
      <c r="K6" s="1">
        <v>35</v>
      </c>
      <c r="L6" s="1">
        <v>53</v>
      </c>
      <c r="M6" s="1">
        <f t="shared" si="4"/>
        <v>809</v>
      </c>
      <c r="N6" s="1">
        <f t="shared" si="5"/>
        <v>905</v>
      </c>
    </row>
    <row r="7" spans="1:14">
      <c r="A7">
        <v>0</v>
      </c>
      <c r="B7">
        <v>0.65464599999999995</v>
      </c>
      <c r="C7">
        <v>0.56718999999999997</v>
      </c>
      <c r="D7">
        <v>2.0690900000000002E-2</v>
      </c>
      <c r="E7">
        <v>0.12209200000000001</v>
      </c>
      <c r="F7">
        <v>0.81623100000000004</v>
      </c>
      <c r="G7">
        <f t="shared" si="0"/>
        <v>3519.3768959999998</v>
      </c>
      <c r="H7">
        <f t="shared" si="1"/>
        <v>1524.60672</v>
      </c>
      <c r="I7">
        <f t="shared" si="2"/>
        <v>111.23427840000001</v>
      </c>
      <c r="J7">
        <f t="shared" si="3"/>
        <v>328.18329600000004</v>
      </c>
      <c r="K7" s="1">
        <v>45</v>
      </c>
      <c r="L7" s="1">
        <v>53</v>
      </c>
      <c r="M7" s="1">
        <f t="shared" si="4"/>
        <v>831</v>
      </c>
      <c r="N7" s="1">
        <f t="shared" si="5"/>
        <v>999</v>
      </c>
    </row>
    <row r="8" spans="1:14">
      <c r="A8">
        <v>0</v>
      </c>
      <c r="B8">
        <v>0.598333</v>
      </c>
      <c r="C8">
        <v>0.66537800000000002</v>
      </c>
      <c r="D8">
        <v>5.1264200000000003E-2</v>
      </c>
      <c r="E8">
        <v>0.27739200000000003</v>
      </c>
      <c r="F8">
        <v>0.90329199999999998</v>
      </c>
      <c r="G8">
        <f t="shared" si="0"/>
        <v>3216.6382079999998</v>
      </c>
      <c r="H8">
        <f t="shared" si="1"/>
        <v>1788.5360640000001</v>
      </c>
      <c r="I8">
        <f t="shared" si="2"/>
        <v>275.59633919999999</v>
      </c>
      <c r="J8">
        <f t="shared" si="3"/>
        <v>745.62969600000008</v>
      </c>
      <c r="K8" s="1">
        <v>15</v>
      </c>
      <c r="L8" s="1">
        <v>38</v>
      </c>
      <c r="M8" s="1">
        <f t="shared" si="4"/>
        <v>529</v>
      </c>
      <c r="N8" s="1">
        <f t="shared" si="5"/>
        <v>527</v>
      </c>
    </row>
    <row r="9" spans="1:14">
      <c r="A9">
        <v>0</v>
      </c>
      <c r="B9">
        <v>0.60370599999999996</v>
      </c>
      <c r="C9">
        <v>0.58907100000000001</v>
      </c>
      <c r="D9">
        <v>3.4264500000000003E-2</v>
      </c>
      <c r="E9">
        <v>0.150142</v>
      </c>
      <c r="F9">
        <v>0.87044200000000005</v>
      </c>
      <c r="G9">
        <f t="shared" si="0"/>
        <v>3245.5234559999999</v>
      </c>
      <c r="H9">
        <f t="shared" si="1"/>
        <v>1583.4228479999999</v>
      </c>
      <c r="I9">
        <f t="shared" si="2"/>
        <v>184.20595200000002</v>
      </c>
      <c r="J9">
        <f t="shared" si="3"/>
        <v>403.58169599999997</v>
      </c>
      <c r="K9" s="1">
        <v>35</v>
      </c>
      <c r="L9" s="1">
        <v>38</v>
      </c>
      <c r="M9" s="1">
        <f t="shared" si="4"/>
        <v>558</v>
      </c>
      <c r="N9" s="1">
        <f t="shared" si="5"/>
        <v>903</v>
      </c>
    </row>
    <row r="10" spans="1:14">
      <c r="A10">
        <v>0</v>
      </c>
      <c r="B10">
        <v>0.60250999999999999</v>
      </c>
      <c r="C10">
        <v>0.56868399999999997</v>
      </c>
      <c r="D10">
        <v>1.9755000000000002E-2</v>
      </c>
      <c r="E10">
        <v>0.12135</v>
      </c>
      <c r="F10">
        <v>0.79229899999999998</v>
      </c>
      <c r="G10">
        <f t="shared" si="0"/>
        <v>3239.0937599999997</v>
      </c>
      <c r="H10">
        <f t="shared" si="1"/>
        <v>1528.6225919999999</v>
      </c>
      <c r="I10">
        <f t="shared" si="2"/>
        <v>106.20288000000001</v>
      </c>
      <c r="J10">
        <f t="shared" si="3"/>
        <v>326.18880000000001</v>
      </c>
      <c r="K10" s="1">
        <v>45</v>
      </c>
      <c r="L10" s="1">
        <v>38</v>
      </c>
      <c r="M10" s="1">
        <f t="shared" si="4"/>
        <v>551</v>
      </c>
      <c r="N10" s="1">
        <f t="shared" si="5"/>
        <v>996</v>
      </c>
    </row>
    <row r="11" spans="1:14">
      <c r="A11">
        <v>0</v>
      </c>
      <c r="B11">
        <v>0.53721799999999997</v>
      </c>
      <c r="C11">
        <v>0.66475600000000001</v>
      </c>
      <c r="D11">
        <v>5.8664500000000001E-2</v>
      </c>
      <c r="E11">
        <v>0.27707700000000002</v>
      </c>
      <c r="F11">
        <v>0.90656099999999995</v>
      </c>
      <c r="G11">
        <f t="shared" si="0"/>
        <v>2888.0839679999999</v>
      </c>
      <c r="H11">
        <f t="shared" si="1"/>
        <v>1786.8641279999999</v>
      </c>
      <c r="I11">
        <f t="shared" si="2"/>
        <v>315.38035200000002</v>
      </c>
      <c r="J11">
        <f t="shared" si="3"/>
        <v>744.78297600000008</v>
      </c>
      <c r="K11" s="1">
        <v>15</v>
      </c>
      <c r="L11" s="1">
        <v>15</v>
      </c>
      <c r="M11" s="1">
        <f t="shared" si="4"/>
        <v>200</v>
      </c>
      <c r="N11" s="1">
        <f t="shared" si="5"/>
        <v>529</v>
      </c>
    </row>
    <row r="12" spans="1:14">
      <c r="A12">
        <v>0</v>
      </c>
      <c r="B12">
        <v>0.53948700000000005</v>
      </c>
      <c r="C12">
        <v>0.58834399999999998</v>
      </c>
      <c r="D12">
        <v>2.57054E-2</v>
      </c>
      <c r="E12">
        <v>0.15729599999999999</v>
      </c>
      <c r="F12">
        <v>0.83673799999999998</v>
      </c>
      <c r="G12">
        <f t="shared" si="0"/>
        <v>2900.2821120000003</v>
      </c>
      <c r="H12">
        <f t="shared" si="1"/>
        <v>1581.468672</v>
      </c>
      <c r="I12">
        <f t="shared" si="2"/>
        <v>138.1922304</v>
      </c>
      <c r="J12">
        <f t="shared" si="3"/>
        <v>422.81164799999999</v>
      </c>
      <c r="K12" s="1">
        <v>35</v>
      </c>
      <c r="L12" s="1">
        <v>15</v>
      </c>
      <c r="M12" s="1">
        <f t="shared" si="4"/>
        <v>212</v>
      </c>
      <c r="N12" s="1">
        <f t="shared" si="5"/>
        <v>895</v>
      </c>
    </row>
    <row r="13" spans="1:14">
      <c r="A13">
        <v>0</v>
      </c>
      <c r="B13">
        <v>0.53940999999999995</v>
      </c>
      <c r="C13">
        <v>0.56914200000000004</v>
      </c>
      <c r="D13">
        <v>2.1036800000000001E-2</v>
      </c>
      <c r="E13">
        <v>0.122499</v>
      </c>
      <c r="F13">
        <v>0.79219399999999995</v>
      </c>
      <c r="G13">
        <f t="shared" si="0"/>
        <v>2899.8681599999995</v>
      </c>
      <c r="H13">
        <f t="shared" si="1"/>
        <v>1529.8536960000001</v>
      </c>
      <c r="I13">
        <f t="shared" si="2"/>
        <v>113.09383680000001</v>
      </c>
      <c r="J13">
        <f t="shared" si="3"/>
        <v>329.27731199999999</v>
      </c>
      <c r="K13" s="1">
        <v>45</v>
      </c>
      <c r="L13" s="1">
        <v>15</v>
      </c>
      <c r="M13" s="1">
        <f t="shared" si="4"/>
        <v>212</v>
      </c>
      <c r="N13" s="1">
        <f t="shared" si="5"/>
        <v>994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Rajendra Pai</dc:creator>
  <cp:keywords/>
  <dc:description/>
  <cp:lastModifiedBy>Martin De Jaeghere</cp:lastModifiedBy>
  <cp:revision/>
  <dcterms:created xsi:type="dcterms:W3CDTF">2025-04-08T17:03:55Z</dcterms:created>
  <dcterms:modified xsi:type="dcterms:W3CDTF">2025-04-09T09:23:35Z</dcterms:modified>
  <cp:category/>
  <cp:contentStatus/>
</cp:coreProperties>
</file>